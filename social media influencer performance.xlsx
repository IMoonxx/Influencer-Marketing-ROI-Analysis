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e67c3025d46ccb/Documents/internship/"/>
    </mc:Choice>
  </mc:AlternateContent>
  <xr:revisionPtr revIDLastSave="1" documentId="14_{28EE9EDE-F7A8-4A36-8F8B-DE2626F29063}" xr6:coauthVersionLast="47" xr6:coauthVersionMax="47" xr10:uidLastSave="{9AB1886D-DBFB-44EC-897E-5AF93286F030}"/>
  <bookViews>
    <workbookView xWindow="-108" yWindow="-108" windowWidth="23256" windowHeight="12456" activeTab="1" xr2:uid="{C06B8AF1-981C-423B-BD45-7A25CDF8B95C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C2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A2" i="2"/>
  <c r="I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</calcChain>
</file>

<file path=xl/sharedStrings.xml><?xml version="1.0" encoding="utf-8"?>
<sst xmlns="http://schemas.openxmlformats.org/spreadsheetml/2006/main" count="62" uniqueCount="48">
  <si>
    <t>Influencer</t>
  </si>
  <si>
    <t>Category</t>
  </si>
  <si>
    <t>Followers</t>
  </si>
  <si>
    <t>Avg Likes</t>
  </si>
  <si>
    <t>Avg Comments</t>
  </si>
  <si>
    <t>Cost per Post (₹)</t>
  </si>
  <si>
    <t>Estimated Conversions</t>
  </si>
  <si>
    <t>Revenue per Conversion (₹)</t>
  </si>
  <si>
    <t>AishaFit</t>
  </si>
  <si>
    <t>Fitness</t>
  </si>
  <si>
    <t>FoodieRaj</t>
  </si>
  <si>
    <t>Food</t>
  </si>
  <si>
    <t>StyleByRiya</t>
  </si>
  <si>
    <t>Fashion</t>
  </si>
  <si>
    <t>TechWithArjun</t>
  </si>
  <si>
    <t>Tech</t>
  </si>
  <si>
    <t>TravelWithNeha</t>
  </si>
  <si>
    <t>Travel</t>
  </si>
  <si>
    <t>MakeupBySimran</t>
  </si>
  <si>
    <t>Beauty</t>
  </si>
  <si>
    <t>GymBroRahul</t>
  </si>
  <si>
    <t>FoodieNeel</t>
  </si>
  <si>
    <t>LuxuryLiving</t>
  </si>
  <si>
    <t>BudgetTraveler</t>
  </si>
  <si>
    <t>TechGuruDev</t>
  </si>
  <si>
    <t>HealthyWithAnya</t>
  </si>
  <si>
    <t>StreetFoodVibes</t>
  </si>
  <si>
    <t>ChicCloset</t>
  </si>
  <si>
    <t>WanderlustDiaries</t>
  </si>
  <si>
    <t>BeautyGlowUp</t>
  </si>
  <si>
    <t>FitLifeKaran</t>
  </si>
  <si>
    <t>DesiFoodBlog</t>
  </si>
  <si>
    <t>UrbanStyle</t>
  </si>
  <si>
    <t>GadgetWorld</t>
  </si>
  <si>
    <t>Engagement Rate</t>
  </si>
  <si>
    <t>Revenue</t>
  </si>
  <si>
    <t>ROI</t>
  </si>
  <si>
    <t xml:space="preserve">Cost per Engagement </t>
  </si>
  <si>
    <t>Correlation Analysis</t>
  </si>
  <si>
    <t>Regression</t>
  </si>
  <si>
    <t>Engagement Rate in %</t>
  </si>
  <si>
    <t>Influencer Type</t>
  </si>
  <si>
    <t>Row Labels</t>
  </si>
  <si>
    <t>Macro</t>
  </si>
  <si>
    <t>Micro</t>
  </si>
  <si>
    <t>Mid</t>
  </si>
  <si>
    <t>Grand Total</t>
  </si>
  <si>
    <t>Average of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</si>
</sst>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2" fontId="0" fillId="0" borderId="0" xfId="0" applyNumberForma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15240</xdr:rowOff>
    </xdr:from>
    <xdr:ext cx="2659380" cy="14701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0F482E-574F-D627-E31F-2ED3F71BBA3B}"/>
            </a:ext>
          </a:extLst>
        </xdr:cNvPr>
        <xdr:cNvSpPr txBox="1"/>
      </xdr:nvSpPr>
      <xdr:spPr>
        <a:xfrm>
          <a:off x="0" y="929640"/>
          <a:ext cx="2659380" cy="1470146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 b="1"/>
            <a:t>Correlation between Engagement and Revenue</a:t>
          </a:r>
        </a:p>
        <a:p>
          <a:r>
            <a:rPr lang="en-IN"/>
            <a:t>There is a very weak positive correlation </a:t>
          </a:r>
        </a:p>
        <a:p>
          <a:r>
            <a:rPr lang="en-IN"/>
            <a:t>between engagement rate and revenue, </a:t>
          </a:r>
        </a:p>
        <a:p>
          <a:r>
            <a:rPr lang="en-IN"/>
            <a:t>indicating that engagement alone does not </a:t>
          </a:r>
        </a:p>
        <a:p>
          <a:r>
            <a:rPr lang="en-IN"/>
            <a:t>significantly influence revenue </a:t>
          </a:r>
          <a:r>
            <a:rPr lang="en-IN" b="0"/>
            <a:t>generation</a:t>
          </a:r>
          <a:r>
            <a:rPr lang="en-IN"/>
            <a:t>. </a:t>
          </a:r>
        </a:p>
        <a:p>
          <a:r>
            <a:rPr lang="en-IN"/>
            <a:t>Other factors such as conversion rate and</a:t>
          </a:r>
        </a:p>
        <a:p>
          <a:r>
            <a:rPr lang="en-IN"/>
            <a:t> pricing likely play a more important role.</a:t>
          </a:r>
          <a:endParaRPr lang="en-IN" sz="1100"/>
        </a:p>
      </xdr:txBody>
    </xdr:sp>
    <xdr:clientData/>
  </xdr:oneCellAnchor>
  <xdr:oneCellAnchor>
    <xdr:from>
      <xdr:col>1</xdr:col>
      <xdr:colOff>838200</xdr:colOff>
      <xdr:row>14</xdr:row>
      <xdr:rowOff>144780</xdr:rowOff>
    </xdr:from>
    <xdr:ext cx="2918460" cy="14701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846876-5473-DB53-68EB-C606F7CFF9EB}"/>
            </a:ext>
          </a:extLst>
        </xdr:cNvPr>
        <xdr:cNvSpPr txBox="1"/>
      </xdr:nvSpPr>
      <xdr:spPr>
        <a:xfrm>
          <a:off x="1699260" y="2705100"/>
          <a:ext cx="2918460" cy="1470146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b="1"/>
            <a:t>Impact of</a:t>
          </a:r>
          <a:r>
            <a:rPr lang="en-IN" b="1" baseline="0"/>
            <a:t> Engagement on Revenue</a:t>
          </a:r>
          <a:endParaRPr lang="en-IN" b="1"/>
        </a:p>
        <a:p>
          <a:r>
            <a:rPr lang="en-IN"/>
            <a:t>The regression analysis indicates that a 1% increase in engagement rate leads to an approximate increase of ₹780 in revenue. However, given the very weak correlation (0.034), engagement is not a strong predictor of revenue, suggesting that other factors such as conversions have a greater impact.</a:t>
          </a:r>
          <a:endParaRPr lang="en-IN" sz="1100"/>
        </a:p>
      </xdr:txBody>
    </xdr:sp>
    <xdr:clientData/>
  </xdr:oneCellAnchor>
  <xdr:oneCellAnchor>
    <xdr:from>
      <xdr:col>4</xdr:col>
      <xdr:colOff>922021</xdr:colOff>
      <xdr:row>6</xdr:row>
      <xdr:rowOff>91441</xdr:rowOff>
    </xdr:from>
    <xdr:ext cx="2910839" cy="98298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91A5FF0-A1FB-D2BE-A63E-E82E5EB02F07}"/>
            </a:ext>
          </a:extLst>
        </xdr:cNvPr>
        <xdr:cNvSpPr txBox="1"/>
      </xdr:nvSpPr>
      <xdr:spPr>
        <a:xfrm>
          <a:off x="4221481" y="1188721"/>
          <a:ext cx="2910839" cy="98298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Influencer Type Analysis</a:t>
          </a:r>
        </a:p>
        <a:p>
          <a:r>
            <a:rPr lang="en-IN"/>
            <a:t>Mid influencers demonstrate higher average ROI compared to macro influencers, indicating better cost efficiency and return on marketing investment.</a:t>
          </a:r>
        </a:p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aivani" refreshedDate="46126.798958796295" createdVersion="8" refreshedVersion="8" minRefreshableVersion="3" recordCount="20" xr:uid="{258C0D62-1BB9-44F0-9594-B2BF009A76F5}">
  <cacheSource type="worksheet">
    <worksheetSource ref="A1:N21" sheet="Sheet1"/>
  </cacheSource>
  <cacheFields count="14">
    <cacheField name="Influencer" numFmtId="0">
      <sharedItems/>
    </cacheField>
    <cacheField name="Category" numFmtId="0">
      <sharedItems/>
    </cacheField>
    <cacheField name="Followers" numFmtId="0">
      <sharedItems containsSemiMixedTypes="0" containsString="0" containsNumber="1" containsInteger="1" minValue="30000" maxValue="200000"/>
    </cacheField>
    <cacheField name="Avg Likes" numFmtId="0">
      <sharedItems containsSemiMixedTypes="0" containsString="0" containsNumber="1" containsInteger="1" minValue="1800" maxValue="8500"/>
    </cacheField>
    <cacheField name="Avg Comments" numFmtId="0">
      <sharedItems containsSemiMixedTypes="0" containsString="0" containsNumber="1" containsInteger="1" minValue="120" maxValue="700"/>
    </cacheField>
    <cacheField name="Cost per Post (₹)" numFmtId="0">
      <sharedItems containsSemiMixedTypes="0" containsString="0" containsNumber="1" containsInteger="1" minValue="4500" maxValue="32000"/>
    </cacheField>
    <cacheField name="Estimated Conversions" numFmtId="0">
      <sharedItems containsSemiMixedTypes="0" containsString="0" containsNumber="1" containsInteger="1" minValue="55" maxValue="180"/>
    </cacheField>
    <cacheField name="Revenue per Conversion (₹)" numFmtId="0">
      <sharedItems containsSemiMixedTypes="0" containsString="0" containsNumber="1" containsInteger="1" minValue="400" maxValue="900"/>
    </cacheField>
    <cacheField name="Engagement Rate" numFmtId="2">
      <sharedItems containsSemiMixedTypes="0" containsString="0" containsNumber="1" minValue="4.4999999999999998E-2" maxValue="9.571428571428571E-2"/>
    </cacheField>
    <cacheField name="Cost per Engagement " numFmtId="0">
      <sharedItems containsSemiMixedTypes="0" containsString="0" containsNumber="1" minValue="1.7948717948717949" maxValue="3.4782608695652173"/>
    </cacheField>
    <cacheField name="Revenue" numFmtId="0">
      <sharedItems containsSemiMixedTypes="0" containsString="0" containsNumber="1" containsInteger="1" minValue="24000" maxValue="136000"/>
    </cacheField>
    <cacheField name="ROI" numFmtId="9">
      <sharedItems containsSemiMixedTypes="0" containsString="0" containsNumber="1" minValue="2.9375" maxValue="9"/>
    </cacheField>
    <cacheField name="Engagement Rate in %" numFmtId="2">
      <sharedItems containsSemiMixedTypes="0" containsString="0" containsNumber="1" minValue="4.5" maxValue="9.5714285714285712"/>
    </cacheField>
    <cacheField name="Influencer Type" numFmtId="0">
      <sharedItems count="3">
        <s v="Mid"/>
        <s v="Macro"/>
        <s v="Mic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AishaFit"/>
    <s v="Fitness"/>
    <n v="52000"/>
    <n v="3600"/>
    <n v="300"/>
    <n v="7000"/>
    <n v="140"/>
    <n v="500"/>
    <n v="7.4999999999999997E-2"/>
    <n v="1.7948717948717949"/>
    <n v="70000"/>
    <n v="9"/>
    <n v="7.5"/>
    <x v="0"/>
  </r>
  <r>
    <s v="FoodieRaj"/>
    <s v="Food"/>
    <n v="120000"/>
    <n v="5000"/>
    <n v="400"/>
    <n v="14000"/>
    <n v="180"/>
    <n v="450"/>
    <n v="4.4999999999999998E-2"/>
    <n v="2.5925925925925926"/>
    <n v="81000"/>
    <n v="4.7857142857142856"/>
    <n v="4.5"/>
    <x v="1"/>
  </r>
  <r>
    <s v="StyleByRiya"/>
    <s v="Fashion"/>
    <n v="85000"/>
    <n v="6000"/>
    <n v="500"/>
    <n v="17000"/>
    <n v="160"/>
    <n v="600"/>
    <n v="7.6470588235294124E-2"/>
    <n v="2.6153846153846154"/>
    <n v="96000"/>
    <n v="4.6470588235294121"/>
    <n v="7.6470588235294121"/>
    <x v="0"/>
  </r>
  <r>
    <s v="TechWithArjun"/>
    <s v="Tech"/>
    <n v="60000"/>
    <n v="2500"/>
    <n v="200"/>
    <n v="9000"/>
    <n v="90"/>
    <n v="550"/>
    <n v="4.4999999999999998E-2"/>
    <n v="3.3333333333333335"/>
    <n v="49500"/>
    <n v="4.5"/>
    <n v="4.5"/>
    <x v="0"/>
  </r>
  <r>
    <s v="TravelWithNeha"/>
    <s v="Travel"/>
    <n v="95000"/>
    <n v="4200"/>
    <n v="350"/>
    <n v="15000"/>
    <n v="130"/>
    <n v="500"/>
    <n v="4.7894736842105261E-2"/>
    <n v="3.2967032967032965"/>
    <n v="65000"/>
    <n v="3.3333333333333335"/>
    <n v="4.7894736842105257"/>
    <x v="0"/>
  </r>
  <r>
    <s v="MakeupBySimran"/>
    <s v="Beauty"/>
    <n v="70000"/>
    <n v="6200"/>
    <n v="500"/>
    <n v="16000"/>
    <n v="170"/>
    <n v="550"/>
    <n v="9.571428571428571E-2"/>
    <n v="2.3880597014925371"/>
    <n v="93500"/>
    <n v="4.84375"/>
    <n v="9.5714285714285712"/>
    <x v="0"/>
  </r>
  <r>
    <s v="GymBroRahul"/>
    <s v="Fitness"/>
    <n v="40000"/>
    <n v="2200"/>
    <n v="180"/>
    <n v="6000"/>
    <n v="70"/>
    <n v="450"/>
    <n v="5.9499999999999997E-2"/>
    <n v="2.5210084033613445"/>
    <n v="31500"/>
    <n v="4.25"/>
    <n v="5.9499999999999993"/>
    <x v="2"/>
  </r>
  <r>
    <s v="FoodieNeel"/>
    <s v="Food"/>
    <n v="30000"/>
    <n v="2000"/>
    <n v="150"/>
    <n v="4500"/>
    <n v="60"/>
    <n v="400"/>
    <n v="7.166666666666667E-2"/>
    <n v="2.0930232558139537"/>
    <n v="24000"/>
    <n v="4.333333333333333"/>
    <n v="7.166666666666667"/>
    <x v="2"/>
  </r>
  <r>
    <s v="LuxuryLiving"/>
    <s v="Fashion"/>
    <n v="200000"/>
    <n v="8500"/>
    <n v="700"/>
    <n v="32000"/>
    <n v="140"/>
    <n v="900"/>
    <n v="4.5999999999999999E-2"/>
    <n v="3.4782608695652173"/>
    <n v="126000"/>
    <n v="2.9375"/>
    <n v="4.5999999999999996"/>
    <x v="1"/>
  </r>
  <r>
    <s v="BudgetTraveler"/>
    <s v="Travel"/>
    <n v="45000"/>
    <n v="2800"/>
    <n v="220"/>
    <n v="8000"/>
    <n v="110"/>
    <n v="450"/>
    <n v="6.7111111111111107E-2"/>
    <n v="2.6490066225165565"/>
    <n v="49500"/>
    <n v="5.1875"/>
    <n v="6.7111111111111104"/>
    <x v="2"/>
  </r>
  <r>
    <s v="TechGuruDev"/>
    <s v="Tech"/>
    <n v="150000"/>
    <n v="7500"/>
    <n v="600"/>
    <n v="26000"/>
    <n v="170"/>
    <n v="800"/>
    <n v="5.3999999999999999E-2"/>
    <n v="3.2098765432098766"/>
    <n v="136000"/>
    <n v="4.2307692307692308"/>
    <n v="5.4"/>
    <x v="1"/>
  </r>
  <r>
    <s v="HealthyWithAnya"/>
    <s v="Fitness"/>
    <n v="55000"/>
    <n v="3500"/>
    <n v="280"/>
    <n v="8000"/>
    <n v="130"/>
    <n v="500"/>
    <n v="6.8727272727272734E-2"/>
    <n v="2.1164021164021163"/>
    <n v="65000"/>
    <n v="7.125"/>
    <n v="6.872727272727273"/>
    <x v="0"/>
  </r>
  <r>
    <s v="StreetFoodVibes"/>
    <s v="Food"/>
    <n v="100000"/>
    <n v="6000"/>
    <n v="500"/>
    <n v="13000"/>
    <n v="160"/>
    <n v="450"/>
    <n v="6.5000000000000002E-2"/>
    <n v="2"/>
    <n v="72000"/>
    <n v="4.5384615384615383"/>
    <n v="6.5"/>
    <x v="0"/>
  </r>
  <r>
    <s v="ChicCloset"/>
    <s v="Fashion"/>
    <n v="65000"/>
    <n v="4500"/>
    <n v="350"/>
    <n v="11000"/>
    <n v="120"/>
    <n v="550"/>
    <n v="7.4615384615384611E-2"/>
    <n v="2.268041237113402"/>
    <n v="66000"/>
    <n v="5"/>
    <n v="7.4615384615384608"/>
    <x v="0"/>
  </r>
  <r>
    <s v="WanderlustDiaries"/>
    <s v="Travel"/>
    <n v="80000"/>
    <n v="4000"/>
    <n v="300"/>
    <n v="12000"/>
    <n v="125"/>
    <n v="500"/>
    <n v="5.3749999999999999E-2"/>
    <n v="2.7906976744186047"/>
    <n v="62500"/>
    <n v="4.208333333333333"/>
    <n v="5.375"/>
    <x v="0"/>
  </r>
  <r>
    <s v="BeautyGlowUp"/>
    <s v="Beauty"/>
    <n v="90000"/>
    <n v="7000"/>
    <n v="600"/>
    <n v="18000"/>
    <n v="180"/>
    <n v="600"/>
    <n v="8.4444444444444447E-2"/>
    <n v="2.3684210526315788"/>
    <n v="108000"/>
    <n v="5"/>
    <n v="8.4444444444444446"/>
    <x v="0"/>
  </r>
  <r>
    <s v="FitLifeKaran"/>
    <s v="Fitness"/>
    <n v="35000"/>
    <n v="1800"/>
    <n v="120"/>
    <n v="5000"/>
    <n v="55"/>
    <n v="450"/>
    <n v="5.4857142857142854E-2"/>
    <n v="2.6041666666666665"/>
    <n v="24750"/>
    <n v="3.95"/>
    <n v="5.4857142857142858"/>
    <x v="2"/>
  </r>
  <r>
    <s v="DesiFoodBlog"/>
    <s v="Food"/>
    <n v="110000"/>
    <n v="6000"/>
    <n v="450"/>
    <n v="14000"/>
    <n v="170"/>
    <n v="500"/>
    <n v="5.8636363636363639E-2"/>
    <n v="2.1705426356589146"/>
    <n v="85000"/>
    <n v="5.0714285714285712"/>
    <n v="5.8636363636363642"/>
    <x v="1"/>
  </r>
  <r>
    <s v="UrbanStyle"/>
    <s v="Fashion"/>
    <n v="75000"/>
    <n v="4800"/>
    <n v="380"/>
    <n v="13000"/>
    <n v="140"/>
    <n v="600"/>
    <n v="6.9066666666666665E-2"/>
    <n v="2.5096525096525095"/>
    <n v="84000"/>
    <n v="5.4615384615384617"/>
    <n v="6.9066666666666663"/>
    <x v="0"/>
  </r>
  <r>
    <s v="GadgetWorld"/>
    <s v="Tech"/>
    <n v="130000"/>
    <n v="6800"/>
    <n v="500"/>
    <n v="22000"/>
    <n v="160"/>
    <n v="750"/>
    <n v="5.6153846153846151E-2"/>
    <n v="3.0136986301369864"/>
    <n v="120000"/>
    <n v="4.4545454545454541"/>
    <n v="5.61538461538461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E6CE3-4068-4856-A473-CF3C339D6E9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5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dataField="1" numFmtId="9" showAll="0"/>
    <pivotField numFmtId="2" showAll="0"/>
    <pivotField axis="axisRow" showAll="0">
      <items count="4">
        <item x="1"/>
        <item x="2"/>
        <item x="0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OI" fld="11" subtotal="average" baseField="13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9D37-5950-4E45-9680-1FFB161065A4}">
  <dimension ref="A1:N21"/>
  <sheetViews>
    <sheetView workbookViewId="0">
      <selection activeCell="C26" sqref="C26"/>
    </sheetView>
  </sheetViews>
  <sheetFormatPr defaultRowHeight="14.4" x14ac:dyDescent="0.3"/>
  <cols>
    <col min="1" max="1" width="13.5546875" customWidth="1"/>
    <col min="5" max="5" width="15.21875" customWidth="1"/>
    <col min="6" max="6" width="13.88671875" customWidth="1"/>
    <col min="7" max="7" width="18.33203125" customWidth="1"/>
    <col min="8" max="8" width="25" customWidth="1"/>
    <col min="9" max="9" width="18.5546875" customWidth="1"/>
    <col min="10" max="10" width="16" customWidth="1"/>
    <col min="12" max="12" width="8.88671875" style="1"/>
    <col min="13" max="13" width="10.88671875" customWidth="1"/>
    <col min="14" max="14" width="14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34</v>
      </c>
      <c r="J1" t="s">
        <v>37</v>
      </c>
      <c r="K1" t="s">
        <v>35</v>
      </c>
      <c r="L1" s="1" t="s">
        <v>36</v>
      </c>
      <c r="M1" t="s">
        <v>40</v>
      </c>
      <c r="N1" t="s">
        <v>41</v>
      </c>
    </row>
    <row r="2" spans="1:14" x14ac:dyDescent="0.3">
      <c r="A2" t="s">
        <v>8</v>
      </c>
      <c r="B2" t="s">
        <v>9</v>
      </c>
      <c r="C2">
        <v>52000</v>
      </c>
      <c r="D2">
        <v>3600</v>
      </c>
      <c r="E2">
        <v>300</v>
      </c>
      <c r="F2">
        <v>7000</v>
      </c>
      <c r="G2">
        <v>140</v>
      </c>
      <c r="H2">
        <v>500</v>
      </c>
      <c r="I2" s="2">
        <f xml:space="preserve"> (D2 + E2) / C2</f>
        <v>7.4999999999999997E-2</v>
      </c>
      <c r="J2">
        <f xml:space="preserve"> F2 / (D2 + E2)</f>
        <v>1.7948717948717949</v>
      </c>
      <c r="K2">
        <f xml:space="preserve"> G2 * H2</f>
        <v>70000</v>
      </c>
      <c r="L2" s="1">
        <f xml:space="preserve"> (K2 - F2) / F2</f>
        <v>9</v>
      </c>
      <c r="M2" s="2">
        <f>I2 *100</f>
        <v>7.5</v>
      </c>
      <c r="N2" t="str">
        <f>IF(C2&lt;50000,"Micro",IF(C2&lt;=100000,"Mid","Macro"))</f>
        <v>Mid</v>
      </c>
    </row>
    <row r="3" spans="1:14" x14ac:dyDescent="0.3">
      <c r="A3" t="s">
        <v>10</v>
      </c>
      <c r="B3" t="s">
        <v>11</v>
      </c>
      <c r="C3">
        <v>120000</v>
      </c>
      <c r="D3">
        <v>5000</v>
      </c>
      <c r="E3">
        <v>400</v>
      </c>
      <c r="F3">
        <v>14000</v>
      </c>
      <c r="G3">
        <v>180</v>
      </c>
      <c r="H3">
        <v>450</v>
      </c>
      <c r="I3" s="2">
        <f t="shared" ref="I3:I21" si="0" xml:space="preserve"> (D3 + E3) / C3</f>
        <v>4.4999999999999998E-2</v>
      </c>
      <c r="J3">
        <f t="shared" ref="J3:J21" si="1" xml:space="preserve"> F3 / (D3 + E3)</f>
        <v>2.5925925925925926</v>
      </c>
      <c r="K3">
        <f t="shared" ref="K3:K21" si="2" xml:space="preserve"> G3 * H3</f>
        <v>81000</v>
      </c>
      <c r="L3" s="1">
        <f t="shared" ref="L3:L21" si="3" xml:space="preserve"> (K3 - F3) / F3</f>
        <v>4.7857142857142856</v>
      </c>
      <c r="M3" s="2">
        <f t="shared" ref="M3:M21" si="4">I3 *100</f>
        <v>4.5</v>
      </c>
      <c r="N3" t="str">
        <f t="shared" ref="N3:N21" si="5">IF(C3&lt;50000,"Micro",IF(C3&lt;=100000,"Mid","Macro"))</f>
        <v>Macro</v>
      </c>
    </row>
    <row r="4" spans="1:14" x14ac:dyDescent="0.3">
      <c r="A4" t="s">
        <v>12</v>
      </c>
      <c r="B4" t="s">
        <v>13</v>
      </c>
      <c r="C4">
        <v>85000</v>
      </c>
      <c r="D4">
        <v>6000</v>
      </c>
      <c r="E4">
        <v>500</v>
      </c>
      <c r="F4">
        <v>17000</v>
      </c>
      <c r="G4">
        <v>160</v>
      </c>
      <c r="H4">
        <v>600</v>
      </c>
      <c r="I4" s="2">
        <f t="shared" si="0"/>
        <v>7.6470588235294124E-2</v>
      </c>
      <c r="J4">
        <f t="shared" si="1"/>
        <v>2.6153846153846154</v>
      </c>
      <c r="K4">
        <f t="shared" si="2"/>
        <v>96000</v>
      </c>
      <c r="L4" s="1">
        <f t="shared" si="3"/>
        <v>4.6470588235294121</v>
      </c>
      <c r="M4" s="2">
        <f t="shared" si="4"/>
        <v>7.6470588235294121</v>
      </c>
      <c r="N4" t="str">
        <f t="shared" si="5"/>
        <v>Mid</v>
      </c>
    </row>
    <row r="5" spans="1:14" x14ac:dyDescent="0.3">
      <c r="A5" t="s">
        <v>14</v>
      </c>
      <c r="B5" t="s">
        <v>15</v>
      </c>
      <c r="C5">
        <v>60000</v>
      </c>
      <c r="D5">
        <v>2500</v>
      </c>
      <c r="E5">
        <v>200</v>
      </c>
      <c r="F5">
        <v>9000</v>
      </c>
      <c r="G5">
        <v>90</v>
      </c>
      <c r="H5">
        <v>550</v>
      </c>
      <c r="I5" s="2">
        <f t="shared" si="0"/>
        <v>4.4999999999999998E-2</v>
      </c>
      <c r="J5">
        <f t="shared" si="1"/>
        <v>3.3333333333333335</v>
      </c>
      <c r="K5">
        <f t="shared" si="2"/>
        <v>49500</v>
      </c>
      <c r="L5" s="1">
        <f t="shared" si="3"/>
        <v>4.5</v>
      </c>
      <c r="M5" s="2">
        <f t="shared" si="4"/>
        <v>4.5</v>
      </c>
      <c r="N5" t="str">
        <f t="shared" si="5"/>
        <v>Mid</v>
      </c>
    </row>
    <row r="6" spans="1:14" x14ac:dyDescent="0.3">
      <c r="A6" t="s">
        <v>16</v>
      </c>
      <c r="B6" t="s">
        <v>17</v>
      </c>
      <c r="C6">
        <v>95000</v>
      </c>
      <c r="D6">
        <v>4200</v>
      </c>
      <c r="E6">
        <v>350</v>
      </c>
      <c r="F6">
        <v>15000</v>
      </c>
      <c r="G6">
        <v>130</v>
      </c>
      <c r="H6">
        <v>500</v>
      </c>
      <c r="I6" s="2">
        <f t="shared" si="0"/>
        <v>4.7894736842105261E-2</v>
      </c>
      <c r="J6">
        <f t="shared" si="1"/>
        <v>3.2967032967032965</v>
      </c>
      <c r="K6">
        <f t="shared" si="2"/>
        <v>65000</v>
      </c>
      <c r="L6" s="1">
        <f t="shared" si="3"/>
        <v>3.3333333333333335</v>
      </c>
      <c r="M6" s="2">
        <f t="shared" si="4"/>
        <v>4.7894736842105257</v>
      </c>
      <c r="N6" t="str">
        <f t="shared" si="5"/>
        <v>Mid</v>
      </c>
    </row>
    <row r="7" spans="1:14" x14ac:dyDescent="0.3">
      <c r="A7" t="s">
        <v>18</v>
      </c>
      <c r="B7" t="s">
        <v>19</v>
      </c>
      <c r="C7">
        <v>70000</v>
      </c>
      <c r="D7">
        <v>6200</v>
      </c>
      <c r="E7">
        <v>500</v>
      </c>
      <c r="F7">
        <v>16000</v>
      </c>
      <c r="G7">
        <v>170</v>
      </c>
      <c r="H7">
        <v>550</v>
      </c>
      <c r="I7" s="2">
        <f t="shared" si="0"/>
        <v>9.571428571428571E-2</v>
      </c>
      <c r="J7">
        <f t="shared" si="1"/>
        <v>2.3880597014925371</v>
      </c>
      <c r="K7">
        <f t="shared" si="2"/>
        <v>93500</v>
      </c>
      <c r="L7" s="1">
        <f t="shared" si="3"/>
        <v>4.84375</v>
      </c>
      <c r="M7" s="2">
        <f t="shared" si="4"/>
        <v>9.5714285714285712</v>
      </c>
      <c r="N7" t="str">
        <f t="shared" si="5"/>
        <v>Mid</v>
      </c>
    </row>
    <row r="8" spans="1:14" x14ac:dyDescent="0.3">
      <c r="A8" t="s">
        <v>20</v>
      </c>
      <c r="B8" t="s">
        <v>9</v>
      </c>
      <c r="C8">
        <v>40000</v>
      </c>
      <c r="D8">
        <v>2200</v>
      </c>
      <c r="E8">
        <v>180</v>
      </c>
      <c r="F8">
        <v>6000</v>
      </c>
      <c r="G8">
        <v>70</v>
      </c>
      <c r="H8">
        <v>450</v>
      </c>
      <c r="I8" s="2">
        <f t="shared" si="0"/>
        <v>5.9499999999999997E-2</v>
      </c>
      <c r="J8">
        <f t="shared" si="1"/>
        <v>2.5210084033613445</v>
      </c>
      <c r="K8">
        <f t="shared" si="2"/>
        <v>31500</v>
      </c>
      <c r="L8" s="1">
        <f t="shared" si="3"/>
        <v>4.25</v>
      </c>
      <c r="M8" s="2">
        <f t="shared" si="4"/>
        <v>5.9499999999999993</v>
      </c>
      <c r="N8" t="str">
        <f t="shared" si="5"/>
        <v>Micro</v>
      </c>
    </row>
    <row r="9" spans="1:14" x14ac:dyDescent="0.3">
      <c r="A9" t="s">
        <v>21</v>
      </c>
      <c r="B9" t="s">
        <v>11</v>
      </c>
      <c r="C9">
        <v>30000</v>
      </c>
      <c r="D9">
        <v>2000</v>
      </c>
      <c r="E9">
        <v>150</v>
      </c>
      <c r="F9">
        <v>4500</v>
      </c>
      <c r="G9">
        <v>60</v>
      </c>
      <c r="H9">
        <v>400</v>
      </c>
      <c r="I9" s="2">
        <f t="shared" si="0"/>
        <v>7.166666666666667E-2</v>
      </c>
      <c r="J9">
        <f t="shared" si="1"/>
        <v>2.0930232558139537</v>
      </c>
      <c r="K9">
        <f t="shared" si="2"/>
        <v>24000</v>
      </c>
      <c r="L9" s="1">
        <f t="shared" si="3"/>
        <v>4.333333333333333</v>
      </c>
      <c r="M9" s="2">
        <f t="shared" si="4"/>
        <v>7.166666666666667</v>
      </c>
      <c r="N9" t="str">
        <f t="shared" si="5"/>
        <v>Micro</v>
      </c>
    </row>
    <row r="10" spans="1:14" x14ac:dyDescent="0.3">
      <c r="A10" t="s">
        <v>22</v>
      </c>
      <c r="B10" t="s">
        <v>13</v>
      </c>
      <c r="C10">
        <v>200000</v>
      </c>
      <c r="D10">
        <v>8500</v>
      </c>
      <c r="E10">
        <v>700</v>
      </c>
      <c r="F10">
        <v>32000</v>
      </c>
      <c r="G10">
        <v>140</v>
      </c>
      <c r="H10">
        <v>900</v>
      </c>
      <c r="I10" s="2">
        <f t="shared" si="0"/>
        <v>4.5999999999999999E-2</v>
      </c>
      <c r="J10">
        <f t="shared" si="1"/>
        <v>3.4782608695652173</v>
      </c>
      <c r="K10">
        <f t="shared" si="2"/>
        <v>126000</v>
      </c>
      <c r="L10" s="1">
        <f t="shared" si="3"/>
        <v>2.9375</v>
      </c>
      <c r="M10" s="2">
        <f t="shared" si="4"/>
        <v>4.5999999999999996</v>
      </c>
      <c r="N10" t="str">
        <f t="shared" si="5"/>
        <v>Macro</v>
      </c>
    </row>
    <row r="11" spans="1:14" x14ac:dyDescent="0.3">
      <c r="A11" t="s">
        <v>23</v>
      </c>
      <c r="B11" t="s">
        <v>17</v>
      </c>
      <c r="C11">
        <v>45000</v>
      </c>
      <c r="D11">
        <v>2800</v>
      </c>
      <c r="E11">
        <v>220</v>
      </c>
      <c r="F11">
        <v>8000</v>
      </c>
      <c r="G11">
        <v>110</v>
      </c>
      <c r="H11">
        <v>450</v>
      </c>
      <c r="I11" s="2">
        <f t="shared" si="0"/>
        <v>6.7111111111111107E-2</v>
      </c>
      <c r="J11">
        <f t="shared" si="1"/>
        <v>2.6490066225165565</v>
      </c>
      <c r="K11">
        <f t="shared" si="2"/>
        <v>49500</v>
      </c>
      <c r="L11" s="1">
        <f t="shared" si="3"/>
        <v>5.1875</v>
      </c>
      <c r="M11" s="2">
        <f t="shared" si="4"/>
        <v>6.7111111111111104</v>
      </c>
      <c r="N11" t="str">
        <f t="shared" si="5"/>
        <v>Micro</v>
      </c>
    </row>
    <row r="12" spans="1:14" x14ac:dyDescent="0.3">
      <c r="A12" t="s">
        <v>24</v>
      </c>
      <c r="B12" t="s">
        <v>15</v>
      </c>
      <c r="C12">
        <v>150000</v>
      </c>
      <c r="D12">
        <v>7500</v>
      </c>
      <c r="E12">
        <v>600</v>
      </c>
      <c r="F12">
        <v>26000</v>
      </c>
      <c r="G12">
        <v>170</v>
      </c>
      <c r="H12">
        <v>800</v>
      </c>
      <c r="I12" s="2">
        <f t="shared" si="0"/>
        <v>5.3999999999999999E-2</v>
      </c>
      <c r="J12">
        <f t="shared" si="1"/>
        <v>3.2098765432098766</v>
      </c>
      <c r="K12">
        <f t="shared" si="2"/>
        <v>136000</v>
      </c>
      <c r="L12" s="1">
        <f t="shared" si="3"/>
        <v>4.2307692307692308</v>
      </c>
      <c r="M12" s="2">
        <f t="shared" si="4"/>
        <v>5.4</v>
      </c>
      <c r="N12" t="str">
        <f t="shared" si="5"/>
        <v>Macro</v>
      </c>
    </row>
    <row r="13" spans="1:14" x14ac:dyDescent="0.3">
      <c r="A13" t="s">
        <v>25</v>
      </c>
      <c r="B13" t="s">
        <v>9</v>
      </c>
      <c r="C13">
        <v>55000</v>
      </c>
      <c r="D13">
        <v>3500</v>
      </c>
      <c r="E13">
        <v>280</v>
      </c>
      <c r="F13">
        <v>8000</v>
      </c>
      <c r="G13">
        <v>130</v>
      </c>
      <c r="H13">
        <v>500</v>
      </c>
      <c r="I13" s="2">
        <f t="shared" si="0"/>
        <v>6.8727272727272734E-2</v>
      </c>
      <c r="J13">
        <f t="shared" si="1"/>
        <v>2.1164021164021163</v>
      </c>
      <c r="K13">
        <f t="shared" si="2"/>
        <v>65000</v>
      </c>
      <c r="L13" s="1">
        <f t="shared" si="3"/>
        <v>7.125</v>
      </c>
      <c r="M13" s="2">
        <f t="shared" si="4"/>
        <v>6.872727272727273</v>
      </c>
      <c r="N13" t="str">
        <f t="shared" si="5"/>
        <v>Mid</v>
      </c>
    </row>
    <row r="14" spans="1:14" x14ac:dyDescent="0.3">
      <c r="A14" t="s">
        <v>26</v>
      </c>
      <c r="B14" t="s">
        <v>11</v>
      </c>
      <c r="C14">
        <v>100000</v>
      </c>
      <c r="D14">
        <v>6000</v>
      </c>
      <c r="E14">
        <v>500</v>
      </c>
      <c r="F14">
        <v>13000</v>
      </c>
      <c r="G14">
        <v>160</v>
      </c>
      <c r="H14">
        <v>450</v>
      </c>
      <c r="I14" s="2">
        <f t="shared" si="0"/>
        <v>6.5000000000000002E-2</v>
      </c>
      <c r="J14">
        <f t="shared" si="1"/>
        <v>2</v>
      </c>
      <c r="K14">
        <f t="shared" si="2"/>
        <v>72000</v>
      </c>
      <c r="L14" s="1">
        <f t="shared" si="3"/>
        <v>4.5384615384615383</v>
      </c>
      <c r="M14" s="2">
        <f t="shared" si="4"/>
        <v>6.5</v>
      </c>
      <c r="N14" t="str">
        <f t="shared" si="5"/>
        <v>Mid</v>
      </c>
    </row>
    <row r="15" spans="1:14" x14ac:dyDescent="0.3">
      <c r="A15" t="s">
        <v>27</v>
      </c>
      <c r="B15" t="s">
        <v>13</v>
      </c>
      <c r="C15">
        <v>65000</v>
      </c>
      <c r="D15">
        <v>4500</v>
      </c>
      <c r="E15">
        <v>350</v>
      </c>
      <c r="F15">
        <v>11000</v>
      </c>
      <c r="G15">
        <v>120</v>
      </c>
      <c r="H15">
        <v>550</v>
      </c>
      <c r="I15" s="2">
        <f t="shared" si="0"/>
        <v>7.4615384615384611E-2</v>
      </c>
      <c r="J15">
        <f t="shared" si="1"/>
        <v>2.268041237113402</v>
      </c>
      <c r="K15">
        <f t="shared" si="2"/>
        <v>66000</v>
      </c>
      <c r="L15" s="1">
        <f t="shared" si="3"/>
        <v>5</v>
      </c>
      <c r="M15" s="2">
        <f t="shared" si="4"/>
        <v>7.4615384615384608</v>
      </c>
      <c r="N15" t="str">
        <f t="shared" si="5"/>
        <v>Mid</v>
      </c>
    </row>
    <row r="16" spans="1:14" x14ac:dyDescent="0.3">
      <c r="A16" t="s">
        <v>28</v>
      </c>
      <c r="B16" t="s">
        <v>17</v>
      </c>
      <c r="C16">
        <v>80000</v>
      </c>
      <c r="D16">
        <v>4000</v>
      </c>
      <c r="E16">
        <v>300</v>
      </c>
      <c r="F16">
        <v>12000</v>
      </c>
      <c r="G16">
        <v>125</v>
      </c>
      <c r="H16">
        <v>500</v>
      </c>
      <c r="I16" s="2">
        <f t="shared" si="0"/>
        <v>5.3749999999999999E-2</v>
      </c>
      <c r="J16">
        <f t="shared" si="1"/>
        <v>2.7906976744186047</v>
      </c>
      <c r="K16">
        <f t="shared" si="2"/>
        <v>62500</v>
      </c>
      <c r="L16" s="1">
        <f t="shared" si="3"/>
        <v>4.208333333333333</v>
      </c>
      <c r="M16" s="2">
        <f t="shared" si="4"/>
        <v>5.375</v>
      </c>
      <c r="N16" t="str">
        <f t="shared" si="5"/>
        <v>Mid</v>
      </c>
    </row>
    <row r="17" spans="1:14" x14ac:dyDescent="0.3">
      <c r="A17" t="s">
        <v>29</v>
      </c>
      <c r="B17" t="s">
        <v>19</v>
      </c>
      <c r="C17">
        <v>90000</v>
      </c>
      <c r="D17">
        <v>7000</v>
      </c>
      <c r="E17">
        <v>600</v>
      </c>
      <c r="F17">
        <v>18000</v>
      </c>
      <c r="G17">
        <v>180</v>
      </c>
      <c r="H17">
        <v>600</v>
      </c>
      <c r="I17" s="2">
        <f t="shared" si="0"/>
        <v>8.4444444444444447E-2</v>
      </c>
      <c r="J17">
        <f t="shared" si="1"/>
        <v>2.3684210526315788</v>
      </c>
      <c r="K17">
        <f t="shared" si="2"/>
        <v>108000</v>
      </c>
      <c r="L17" s="1">
        <f t="shared" si="3"/>
        <v>5</v>
      </c>
      <c r="M17" s="2">
        <f t="shared" si="4"/>
        <v>8.4444444444444446</v>
      </c>
      <c r="N17" t="str">
        <f t="shared" si="5"/>
        <v>Mid</v>
      </c>
    </row>
    <row r="18" spans="1:14" x14ac:dyDescent="0.3">
      <c r="A18" t="s">
        <v>30</v>
      </c>
      <c r="B18" t="s">
        <v>9</v>
      </c>
      <c r="C18">
        <v>35000</v>
      </c>
      <c r="D18">
        <v>1800</v>
      </c>
      <c r="E18">
        <v>120</v>
      </c>
      <c r="F18">
        <v>5000</v>
      </c>
      <c r="G18">
        <v>55</v>
      </c>
      <c r="H18">
        <v>450</v>
      </c>
      <c r="I18" s="2">
        <f t="shared" si="0"/>
        <v>5.4857142857142854E-2</v>
      </c>
      <c r="J18">
        <f t="shared" si="1"/>
        <v>2.6041666666666665</v>
      </c>
      <c r="K18">
        <f t="shared" si="2"/>
        <v>24750</v>
      </c>
      <c r="L18" s="1">
        <f t="shared" si="3"/>
        <v>3.95</v>
      </c>
      <c r="M18" s="2">
        <f t="shared" si="4"/>
        <v>5.4857142857142858</v>
      </c>
      <c r="N18" t="str">
        <f t="shared" si="5"/>
        <v>Micro</v>
      </c>
    </row>
    <row r="19" spans="1:14" x14ac:dyDescent="0.3">
      <c r="A19" t="s">
        <v>31</v>
      </c>
      <c r="B19" t="s">
        <v>11</v>
      </c>
      <c r="C19">
        <v>110000</v>
      </c>
      <c r="D19">
        <v>6000</v>
      </c>
      <c r="E19">
        <v>450</v>
      </c>
      <c r="F19">
        <v>14000</v>
      </c>
      <c r="G19">
        <v>170</v>
      </c>
      <c r="H19">
        <v>500</v>
      </c>
      <c r="I19" s="2">
        <f t="shared" si="0"/>
        <v>5.8636363636363639E-2</v>
      </c>
      <c r="J19">
        <f t="shared" si="1"/>
        <v>2.1705426356589146</v>
      </c>
      <c r="K19">
        <f t="shared" si="2"/>
        <v>85000</v>
      </c>
      <c r="L19" s="1">
        <f t="shared" si="3"/>
        <v>5.0714285714285712</v>
      </c>
      <c r="M19" s="2">
        <f t="shared" si="4"/>
        <v>5.8636363636363642</v>
      </c>
      <c r="N19" t="str">
        <f t="shared" si="5"/>
        <v>Macro</v>
      </c>
    </row>
    <row r="20" spans="1:14" x14ac:dyDescent="0.3">
      <c r="A20" t="s">
        <v>32</v>
      </c>
      <c r="B20" t="s">
        <v>13</v>
      </c>
      <c r="C20">
        <v>75000</v>
      </c>
      <c r="D20">
        <v>4800</v>
      </c>
      <c r="E20">
        <v>380</v>
      </c>
      <c r="F20">
        <v>13000</v>
      </c>
      <c r="G20">
        <v>140</v>
      </c>
      <c r="H20">
        <v>600</v>
      </c>
      <c r="I20" s="2">
        <f t="shared" si="0"/>
        <v>6.9066666666666665E-2</v>
      </c>
      <c r="J20">
        <f t="shared" si="1"/>
        <v>2.5096525096525095</v>
      </c>
      <c r="K20">
        <f t="shared" si="2"/>
        <v>84000</v>
      </c>
      <c r="L20" s="1">
        <f t="shared" si="3"/>
        <v>5.4615384615384617</v>
      </c>
      <c r="M20" s="2">
        <f t="shared" si="4"/>
        <v>6.9066666666666663</v>
      </c>
      <c r="N20" t="str">
        <f t="shared" si="5"/>
        <v>Mid</v>
      </c>
    </row>
    <row r="21" spans="1:14" x14ac:dyDescent="0.3">
      <c r="A21" t="s">
        <v>33</v>
      </c>
      <c r="B21" t="s">
        <v>15</v>
      </c>
      <c r="C21">
        <v>130000</v>
      </c>
      <c r="D21">
        <v>6800</v>
      </c>
      <c r="E21">
        <v>500</v>
      </c>
      <c r="F21">
        <v>22000</v>
      </c>
      <c r="G21">
        <v>160</v>
      </c>
      <c r="H21">
        <v>750</v>
      </c>
      <c r="I21" s="2">
        <f t="shared" si="0"/>
        <v>5.6153846153846151E-2</v>
      </c>
      <c r="J21">
        <f t="shared" si="1"/>
        <v>3.0136986301369864</v>
      </c>
      <c r="K21">
        <f t="shared" si="2"/>
        <v>120000</v>
      </c>
      <c r="L21" s="1">
        <f t="shared" si="3"/>
        <v>4.4545454545454541</v>
      </c>
      <c r="M21" s="2">
        <f t="shared" si="4"/>
        <v>5.615384615384615</v>
      </c>
      <c r="N21" t="str">
        <f t="shared" si="5"/>
        <v>Macro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AF67-294E-4280-B467-9474A1BB663A}">
  <dimension ref="A1:G18"/>
  <sheetViews>
    <sheetView tabSelected="1" workbookViewId="0">
      <selection activeCell="K20" sqref="K20"/>
    </sheetView>
  </sheetViews>
  <sheetFormatPr defaultRowHeight="14.4" x14ac:dyDescent="0.3"/>
  <cols>
    <col min="1" max="1" width="12.5546875" bestFit="1" customWidth="1"/>
    <col min="2" max="2" width="13.6640625" bestFit="1" customWidth="1"/>
    <col min="3" max="3" width="13" customWidth="1"/>
    <col min="5" max="5" width="16" customWidth="1"/>
    <col min="6" max="6" width="21.109375" customWidth="1"/>
  </cols>
  <sheetData>
    <row r="1" spans="1:7" x14ac:dyDescent="0.3">
      <c r="A1" s="3" t="s">
        <v>38</v>
      </c>
      <c r="C1" s="6" t="s">
        <v>39</v>
      </c>
      <c r="F1" s="7" t="s">
        <v>42</v>
      </c>
      <c r="G1" t="s">
        <v>47</v>
      </c>
    </row>
    <row r="2" spans="1:7" x14ac:dyDescent="0.3">
      <c r="A2" s="4">
        <f xml:space="preserve"> CORREL(Sheet1!I2:I21, Sheet1!K2:K21)</f>
        <v>3.3901475394645039E-2</v>
      </c>
      <c r="B2" s="5"/>
      <c r="C2" s="4">
        <f xml:space="preserve"> SLOPE(Sheet1!K2:K21, Sheet1!M2:M21)</f>
        <v>780.2796030090384</v>
      </c>
      <c r="F2" s="8" t="s">
        <v>43</v>
      </c>
      <c r="G2" s="9">
        <v>4.2959915084915083</v>
      </c>
    </row>
    <row r="3" spans="1:7" x14ac:dyDescent="0.3">
      <c r="A3" s="4"/>
      <c r="B3" s="5"/>
      <c r="F3" s="8" t="s">
        <v>44</v>
      </c>
      <c r="G3" s="9">
        <v>4.4302083333333329</v>
      </c>
    </row>
    <row r="4" spans="1:7" x14ac:dyDescent="0.3">
      <c r="A4" s="4"/>
      <c r="B4" s="5"/>
      <c r="F4" s="8" t="s">
        <v>45</v>
      </c>
      <c r="G4" s="9">
        <v>5.2415886809269168</v>
      </c>
    </row>
    <row r="5" spans="1:7" x14ac:dyDescent="0.3">
      <c r="A5" s="4"/>
      <c r="B5" s="5"/>
      <c r="F5" s="8" t="s">
        <v>46</v>
      </c>
      <c r="G5" s="9">
        <v>4.8429133182993471</v>
      </c>
    </row>
    <row r="6" spans="1:7" x14ac:dyDescent="0.3">
      <c r="A6" s="4"/>
      <c r="B6" s="5"/>
    </row>
    <row r="7" spans="1:7" x14ac:dyDescent="0.3">
      <c r="A7" s="4"/>
      <c r="B7" s="5"/>
    </row>
    <row r="8" spans="1:7" x14ac:dyDescent="0.3">
      <c r="A8" s="4"/>
      <c r="B8" s="5"/>
    </row>
    <row r="9" spans="1:7" x14ac:dyDescent="0.3">
      <c r="B9" s="5"/>
    </row>
    <row r="10" spans="1:7" x14ac:dyDescent="0.3">
      <c r="B10" s="5"/>
    </row>
    <row r="11" spans="1:7" x14ac:dyDescent="0.3">
      <c r="A11" s="4"/>
      <c r="B11" s="5"/>
    </row>
    <row r="12" spans="1:7" x14ac:dyDescent="0.3">
      <c r="A12" s="4"/>
      <c r="B12" s="5"/>
    </row>
    <row r="13" spans="1:7" x14ac:dyDescent="0.3">
      <c r="A13" s="4"/>
      <c r="B13" s="5"/>
    </row>
    <row r="14" spans="1:7" x14ac:dyDescent="0.3">
      <c r="A14" s="4"/>
      <c r="B14" s="5"/>
    </row>
    <row r="15" spans="1:7" x14ac:dyDescent="0.3">
      <c r="A15" s="4"/>
      <c r="B15" s="5"/>
    </row>
    <row r="16" spans="1:7" x14ac:dyDescent="0.3">
      <c r="A16" s="4"/>
      <c r="B16" s="5"/>
    </row>
    <row r="17" spans="1:2" x14ac:dyDescent="0.3">
      <c r="A17" s="4"/>
      <c r="B17" s="5"/>
    </row>
    <row r="18" spans="1:2" x14ac:dyDescent="0.3">
      <c r="A18" s="4"/>
      <c r="B18" s="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barath selvakumar</dc:creator>
  <cp:lastModifiedBy>barath selvakumar</cp:lastModifiedBy>
  <dcterms:created xsi:type="dcterms:W3CDTF">2026-04-14T10:43:29Z</dcterms:created>
  <dcterms:modified xsi:type="dcterms:W3CDTF">2026-04-14T13:57:55Z</dcterms:modified>
</cp:coreProperties>
</file>